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-28920" yWindow="-120" windowWidth="29040" windowHeight="15840"/>
  </bookViews>
  <sheets>
    <sheet name="Journal" sheetId="1" r:id="rId1"/>
    <sheet name="Paramètres" sheetId="2" r:id="rId2"/>
  </sheets>
  <definedNames>
    <definedName name="base">Journal!$A$6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4" i="1" l="1"/>
</calcChain>
</file>

<file path=xl/sharedStrings.xml><?xml version="1.0" encoding="utf-8"?>
<sst xmlns="http://schemas.openxmlformats.org/spreadsheetml/2006/main" count="183" uniqueCount="114">
  <si>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</si>
  <si>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</si>
  <si>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</si>
  <si>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</si>
  <si>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</si>
  <si>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</si>
  <si>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</si>
  <si>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Types de tâches</t>
  </si>
  <si>
    <t>Implémentation</t>
  </si>
  <si>
    <t>Tests</t>
  </si>
  <si>
    <t>Documentation</t>
  </si>
  <si>
    <t>Absence</t>
  </si>
  <si>
    <r>
      <t>Réalisé par:</t>
    </r>
    <r>
      <rPr>
        <i/>
        <sz val="11"/>
        <rFont val="Tahoma"/>
        <family val="2"/>
      </rPr>
      <t xml:space="preserve"> Esteban Giorgis</t>
    </r>
  </si>
  <si>
    <r>
      <t xml:space="preserve">Classe: </t>
    </r>
    <r>
      <rPr>
        <i/>
        <sz val="11"/>
        <rFont val="Tahoma"/>
        <family val="2"/>
      </rPr>
      <t>SI-C4b</t>
    </r>
  </si>
  <si>
    <t>Téléchargement</t>
  </si>
  <si>
    <t>Montage</t>
  </si>
  <si>
    <t>Réunion</t>
  </si>
  <si>
    <t>Réunion avec l'expert numéro 1 (M. Roy), pour nous expliquer le déroulement du TPI et le contenu de CDC reçu</t>
  </si>
  <si>
    <t>Réunion agréable et rassurant pour la suite du TPI</t>
  </si>
  <si>
    <t>Réalisation de la planification initiale</t>
  </si>
  <si>
    <t>PROJET TPI: Horloge à LED avec indication du taux de CO2</t>
  </si>
  <si>
    <t>Rédaction de la section "Analyse préliminaire" du dossier de projet</t>
  </si>
  <si>
    <t>Bien déroulé dû au fait de  réaliser une première version simplifier sur papier</t>
  </si>
  <si>
    <t>Beaucoup de stratégies de testes à réfléchir</t>
  </si>
  <si>
    <t xml:space="preserve">Rédaction des stratégies de testes </t>
  </si>
  <si>
    <t xml:space="preserve">Réunion avec le chef de projet (M. Favre), pour répondre à quelques dérnières questions </t>
  </si>
  <si>
    <t xml:space="preserve">Petite réorgannisation du programme </t>
  </si>
  <si>
    <t>Réalisation des deux premiers sprints dans un tableau Trello pour le suivit du projet</t>
  </si>
  <si>
    <t>Entetien professionnel</t>
  </si>
  <si>
    <t xml:space="preserve">Souder du matériel de test pour reprendre la main </t>
  </si>
  <si>
    <t>Enormément de testes a penser et a rédiger</t>
  </si>
  <si>
    <t>Continuer la prise en main de la soudure</t>
  </si>
  <si>
    <t>Moins de problème de soudure que prévu</t>
  </si>
  <si>
    <t>Une prise main plus rapide que je ne le pensais. A noter que pour des résons de disponnibilité de salle et de professeurs, la partie soudure a été échangé avec la partie de réalisation de l'organigramme</t>
  </si>
  <si>
    <t xml:space="preserve">Une trentaine de minutes ont été "perdues" dû à la difficulté du fer à souder à chauffer </t>
  </si>
  <si>
    <t>Réunion avec le chef de projet</t>
  </si>
  <si>
    <t xml:space="preserve">Beaucoup de petites retouches à faire </t>
  </si>
  <si>
    <t>Ajout d'un lien dans le dossier de projet utilisé pour la soudure des éléments du projet</t>
  </si>
  <si>
    <t>Soudure de l'affichage 7 segments</t>
  </si>
  <si>
    <t>Soudure du capteur de CO2</t>
  </si>
  <si>
    <t>Soudure de l'horloge 60 LED</t>
  </si>
  <si>
    <t>Soudure non terminée</t>
  </si>
  <si>
    <t>Ajout de descriptions pour chaque étiquette de sprint pour le planing général dans le tableau Trello et fusion du sprint 4 et 5</t>
  </si>
  <si>
    <t xml:space="preserve">
Dans le tableau Trello, ajouter des couleurs sous forme d'étiquettes aux taches correspondant au sprint auquel ils appartiennent à leur création
</t>
  </si>
  <si>
    <t>Dans le tableau Trello, ajout d'une tache pour les tests d'acceptation et pour la réalisation des uses cases scénario.</t>
  </si>
  <si>
    <t>Long et répétitif mais utile pour la suite</t>
  </si>
  <si>
    <t>Soudure</t>
  </si>
  <si>
    <t xml:space="preserve">Rédiger les tests d'acceptations de chaque tache pour chaque sprint </t>
  </si>
  <si>
    <t xml:space="preserve">Amélioration ésthétique du dossier de projet comme ajout d'images ou de numéro de page </t>
  </si>
  <si>
    <t>Retouche de l'introduction, ajout de CDC dans une nouvelle section "Organisation" et ajouter des titre a chaque tests</t>
  </si>
  <si>
    <t>Amélioration de l'affichage du planing initial dans le dossier de projet</t>
  </si>
  <si>
    <t>Retouche de plusieurs paramettres du document word en lui même comme le pied de page</t>
  </si>
  <si>
    <t xml:space="preserve">Réalisation de l'organigramme </t>
  </si>
  <si>
    <t>Plus rapide que prévu. L'idée de faire plusieurs diagrammes de flux a été abandonné</t>
  </si>
  <si>
    <t>Réaliser les uses cases scénario pour la partie "Affichage de l'heure"</t>
  </si>
  <si>
    <t>Réaliser les uses cases scénario pour la partie "Affichage du taux de CO2 avec alerte"</t>
  </si>
  <si>
    <t>Réaliser les uses cases scénario pour la partie "Affichage de la température"</t>
  </si>
  <si>
    <t xml:space="preserve">Amélioration du diagramme de flux </t>
  </si>
  <si>
    <t xml:space="preserve">Il restait quelques erreurs d'orthographes et d'algorithmes </t>
  </si>
  <si>
    <t>Retouche des deux dernières parties des uses case scénario</t>
  </si>
  <si>
    <t>Ajout de plusieurs termes dans la section glossaire du dossier de projet</t>
  </si>
  <si>
    <t>Les uses cases sont compliquées à réaliser, car le projet permet peu d'interaction par l'utilisateur</t>
  </si>
  <si>
    <t>Ajout de plusieurs uses cases</t>
  </si>
  <si>
    <t>Continuer la soudure pour l'horloge à 60 LED</t>
  </si>
  <si>
    <t>Rédaction de la partie de listage du matériel physique utilisé pour le projet</t>
  </si>
  <si>
    <t>Mise en place de la structure du projet (dossiers, fichiers) et mise en place de l'outil de versionning GitHub</t>
  </si>
  <si>
    <t xml:space="preserve">Rédaction de l'introduction et des objectifs dans la section "Analyse/conception" du dossier de projet </t>
  </si>
  <si>
    <t xml:space="preserve">
Début de la rédaction du dossier de réalisation avec l'inscription de toutes les versions de chaque logiciel utilisé
</t>
  </si>
  <si>
    <t>Rédaction du dossier de conception en listant notamment les différents logiciels utilisé pour le projet</t>
  </si>
  <si>
    <t>Blocage sur les soudures des trois Pins permettant de relier l'horloge au breadboard</t>
  </si>
  <si>
    <t xml:space="preserve">Réfléchir à une solution pour brancher tous les composants </t>
  </si>
  <si>
    <t>Montage du capteur de CO2 et de l'affichage 7 segments</t>
  </si>
  <si>
    <t>Reprendre l'ancien montage du Pré-TPI pour une partie du montage final, a semblé la plus efficace au niveau du temps</t>
  </si>
  <si>
    <t>Montage du buzzer et d'un bouton poussoir</t>
  </si>
  <si>
    <t>Le deuxième bouton poussoir est déjà branché</t>
  </si>
  <si>
    <t>Test des composants déjà branchés avec le projet pré-TPI</t>
  </si>
  <si>
    <t>Réutilisation du code du Pré-TPI pour tester les composants déjà branchés</t>
  </si>
  <si>
    <t>Test et prise en main du capteur de CO2 (SGP30)</t>
  </si>
  <si>
    <t>Test de l'affichage 60 LED</t>
  </si>
  <si>
    <t>Test de l'affichage 7 segments</t>
  </si>
  <si>
    <t>Mise en place du prochain sprint pour la semaine prochaine</t>
  </si>
  <si>
    <t>Beaucoup des tâches qui devaient être effectuées durant le sprint 2 ont été déplacé dans le sprint 3. À noter aussi que la semaine trois est dédiée à la partie implémentation du projet</t>
  </si>
  <si>
    <t xml:space="preserve">Plutôt long à comprendre et à prendre en main, mais très intéressant </t>
  </si>
  <si>
    <t>Prise en main de la RTC pour récupérer l'heure pour ensuite pouvoir l'afficher sur l'horloge et l'affichage 7 segments</t>
  </si>
  <si>
    <t>Plus simple que prévu</t>
  </si>
  <si>
    <t>Réunion avec le deuxième expert (M. Masson)</t>
  </si>
  <si>
    <t>Prise d'aide avec un exemple fourni avec la librairie pour l'affichage 7 segments</t>
  </si>
  <si>
    <t xml:space="preserve">Réunion plutôt rapide mais efficace. M. Masson a été globalement de l'avancement du projet </t>
  </si>
  <si>
    <t>Prise d'aide avec le code réalisé durant le Pré-TPI</t>
  </si>
  <si>
    <t>Implémentation des fonctionnalités de calcul puis d'affichage de la température</t>
  </si>
  <si>
    <t>Implémentation des fonctionnalités de calcul puis d'affichage de l'heure sur l'affichage 7 segments</t>
  </si>
  <si>
    <t xml:space="preserve">Améliorations de quelques points discutés durant la précédente réunion avec le chef de projet </t>
  </si>
  <si>
    <t>Implémentation des fonctionnalités de calcul puis d'affichage du taux de CO2</t>
  </si>
  <si>
    <t>Sans succès</t>
  </si>
  <si>
    <t>Implémentation des fonctionnalités de calcul puis d'affichage de l'heure sur l'horloge 60 LED</t>
  </si>
  <si>
    <t>Implémentation de la fonctionnalité d'affichage de l'heure sur l'affichage 7 segments</t>
  </si>
  <si>
    <t>Implémentation de la fonctionnalité d'affichage de la température / heure / taux de CO2 en alternance</t>
  </si>
  <si>
    <t>Pas mal de recherches ont été faites sur comment ne pas utiliser la fonction de délai d'Arduino</t>
  </si>
  <si>
    <t>Modifier le rendu d'impression du journal de travail et inscrire le montage complet dans le dossier de projet</t>
  </si>
  <si>
    <t>Implémentation de la fonctionnalité de modification du contenu de l'affichage 7 segments</t>
  </si>
  <si>
    <t>Implémentation des fonctionnalités permettant de faire clignoter l'horloge 60 LED et faire biper le buzzer en alternance.</t>
  </si>
  <si>
    <t>Plus compliqué que prévu</t>
  </si>
  <si>
    <t>Implémentation de la fonctionnalité permettant d'afficher l'heure actuelle sur l'horloge 60 LED</t>
  </si>
  <si>
    <t>Implémentation des fonctionnalités permettant d'émettre une alarme si le taux de CO2 dépasse un seuil voulu</t>
  </si>
  <si>
    <t>La fonctionnalité est partiellement fonctionnelle</t>
  </si>
  <si>
    <t>rapide, mais nécessaire</t>
  </si>
  <si>
    <t>Retravailler l'implémentation des fonctionnalités permettant de faire clignoter l'horloge 60 LED et faire biper le buzzer en alternance.</t>
  </si>
  <si>
    <t>Plus besoin d'attendre la fin des affichages pour passer au suivant après un clique. On peut changer dès maintenant d'affichage à n'importe quel moment où l'on presse sur le bouton poussoir.</t>
  </si>
  <si>
    <t>Après la modification de la fonction "loop()) de programme, il a fallu modifier cette implémentation de fonctionnalité. Blocage durant plusieurs minutes sur l'alternance qui se stoppait au d'un certain temps </t>
  </si>
  <si>
    <t>Changement de la logique de la fonction "loop()" pour rendre le programme plus "dynamique".</t>
  </si>
  <si>
    <t>Retravailler l'implémentation des fonctionnalités permettant de faire clignoter les secondes sur l'affichage 7 segments</t>
  </si>
  <si>
    <t>Ajouter un temps maximum en cas d'alerte si le taux de CO2 mesuré est trop élevé</t>
  </si>
  <si>
    <t>Pas réussi</t>
  </si>
  <si>
    <t>Implémenter la fonctionnalité qui permet au programme de ne pas complétement s'arreter quand le taux de CO2 a dépassé un seuil voulu. Dès l'apparition de ou des alerte l'affichage 7 segments affiche le taux de CO2.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</si>
</sst>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i/>
      <sz val="1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10</xdr:row>
          <xdr:rowOff>28575</xdr:rowOff>
        </xdr:from>
        <xdr:to>
          <xdr:col>0</xdr:col>
          <xdr:colOff>990600</xdr:colOff>
          <xdr:row>11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75"/>
  <sheetViews>
    <sheetView tabSelected="1" zoomScale="85" zoomScaleNormal="85" workbookViewId="0">
      <selection activeCell="F7" sqref="F7"/>
    </sheetView>
  </sheetViews>
  <sheetFormatPr baseColWidth="10" defaultColWidth="9.140625" defaultRowHeight="15" x14ac:dyDescent="0.25"/>
  <cols>
    <col min="1" max="1" width="8.140625" style="5" bestFit="1" customWidth="1"/>
    <col min="2" max="2" width="9.5703125" style="17" bestFit="1" customWidth="1"/>
    <col min="3" max="3" width="11.28515625" style="13" bestFit="1" customWidth="1"/>
    <col min="4" max="4" width="16.140625" style="5" bestFit="1" customWidth="1"/>
    <col min="5" max="5" width="68.5703125" style="14" customWidth="1"/>
    <col min="6" max="6" width="31.140625" style="14" customWidth="1"/>
    <col min="7" max="16384" width="9.140625" style="8"/>
  </cols>
  <sheetData>
    <row r="1" spans="1:9" s="18" customFormat="1" ht="14.1" customHeight="1" x14ac:dyDescent="0.2">
      <c r="A1" s="36" t="s">
        <v>20</v>
      </c>
      <c r="B1" s="36"/>
      <c r="C1" s="36"/>
      <c r="D1" s="36"/>
      <c r="E1" s="36"/>
      <c r="F1" s="36"/>
    </row>
    <row r="2" spans="1:9" s="18" customFormat="1" ht="14.25" x14ac:dyDescent="0.2">
      <c r="A2" s="36"/>
      <c r="B2" s="36"/>
      <c r="C2" s="36"/>
      <c r="D2" s="36"/>
      <c r="E2" s="36"/>
      <c r="F2" s="36"/>
    </row>
    <row r="3" spans="1:9" s="18" customFormat="1" ht="24.95" customHeight="1" x14ac:dyDescent="0.2">
      <c r="E3" s="18" t="s">
        <v>12</v>
      </c>
      <c r="F3" s="19" t="s">
        <v>13</v>
      </c>
    </row>
    <row r="6" spans="1:9" ht="42.75" customHeight="1" x14ac:dyDescent="0.25">
      <c r="A6" s="3" t="s">
        <v>0</v>
      </c>
      <c r="B6" s="15" t="s">
        <v>1</v>
      </c>
      <c r="C6" s="6" t="s">
        <v>2</v>
      </c>
      <c r="D6" s="3" t="s">
        <v>3</v>
      </c>
      <c r="E6" s="7" t="s">
        <v>4</v>
      </c>
      <c r="F6" s="7" t="s">
        <v>5</v>
      </c>
    </row>
    <row r="7" spans="1:9" ht="72.75" customHeight="1" x14ac:dyDescent="0.25">
      <c r="A7" s="4">
        <v>44701</v>
      </c>
      <c r="B7" s="16">
        <v>3</v>
      </c>
      <c r="C7" s="9">
        <v>0.5</v>
      </c>
      <c r="D7" s="10" t="s">
        <v>8</v>
      </c>
      <c r="E7" s="11" t="s">
        <v>113</v>
      </c>
      <c r="F7" s="35" t="s">
        <v>112</v>
      </c>
      <c r="I7" s="12"/>
    </row>
    <row r="8" spans="1:9" ht="72.75" customHeight="1" x14ac:dyDescent="0.25">
      <c r="A8" s="4">
        <v>44701</v>
      </c>
      <c r="B8" s="16">
        <v>3</v>
      </c>
      <c r="C8" s="9">
        <v>2.5</v>
      </c>
      <c r="D8" s="10" t="s">
        <v>8</v>
      </c>
      <c r="E8" s="11" t="s">
        <v>111</v>
      </c>
      <c r="F8" s="35" t="s">
        <v>112</v>
      </c>
      <c r="I8" s="12"/>
    </row>
    <row r="9" spans="1:9" ht="72.75" customHeight="1" x14ac:dyDescent="0.25">
      <c r="A9" s="4">
        <v>44701</v>
      </c>
      <c r="B9" s="16">
        <v>3</v>
      </c>
      <c r="C9" s="9">
        <v>1.5</v>
      </c>
      <c r="D9" s="10" t="s">
        <v>8</v>
      </c>
      <c r="E9" s="11" t="s">
        <v>110</v>
      </c>
      <c r="F9" s="34" t="s">
        <v>101</v>
      </c>
      <c r="I9" s="12"/>
    </row>
    <row r="10" spans="1:9" ht="158.25" customHeight="1" x14ac:dyDescent="0.25">
      <c r="A10" s="4">
        <v>44700</v>
      </c>
      <c r="B10" s="16">
        <v>3</v>
      </c>
      <c r="C10" s="9">
        <v>1.5</v>
      </c>
      <c r="D10" s="10" t="s">
        <v>8</v>
      </c>
      <c r="E10" s="11" t="s">
        <v>106</v>
      </c>
      <c r="F10" s="34" t="s">
        <v>108</v>
      </c>
      <c r="I10" s="12"/>
    </row>
    <row r="11" spans="1:9" ht="146.25" customHeight="1" x14ac:dyDescent="0.25">
      <c r="A11" s="4">
        <v>44700</v>
      </c>
      <c r="B11" s="16">
        <v>3</v>
      </c>
      <c r="C11" s="9">
        <v>3</v>
      </c>
      <c r="D11" s="10" t="s">
        <v>8</v>
      </c>
      <c r="E11" s="11" t="s">
        <v>109</v>
      </c>
      <c r="F11" s="34" t="s">
        <v>107</v>
      </c>
      <c r="I11" s="12"/>
    </row>
    <row r="12" spans="1:9" ht="48" customHeight="1" x14ac:dyDescent="0.25">
      <c r="A12" s="4">
        <v>44698</v>
      </c>
      <c r="B12" s="16">
        <v>3</v>
      </c>
      <c r="C12" s="9">
        <v>1</v>
      </c>
      <c r="D12" s="10" t="s">
        <v>8</v>
      </c>
      <c r="E12" s="11" t="s">
        <v>102</v>
      </c>
      <c r="F12" s="33" t="s">
        <v>101</v>
      </c>
      <c r="I12" s="12"/>
    </row>
    <row r="13" spans="1:9" ht="48" customHeight="1" x14ac:dyDescent="0.25">
      <c r="A13" s="4">
        <v>44698</v>
      </c>
      <c r="B13" s="16">
        <v>3</v>
      </c>
      <c r="C13" s="9">
        <v>2</v>
      </c>
      <c r="D13" s="10" t="s">
        <v>8</v>
      </c>
      <c r="E13" s="11" t="s">
        <v>103</v>
      </c>
      <c r="F13" s="33"/>
      <c r="I13" s="12"/>
    </row>
    <row r="14" spans="1:9" ht="49.5" customHeight="1" x14ac:dyDescent="0.25">
      <c r="A14" s="4">
        <v>44698</v>
      </c>
      <c r="B14" s="16">
        <v>3</v>
      </c>
      <c r="C14" s="9">
        <v>0.5</v>
      </c>
      <c r="D14" s="10" t="s">
        <v>8</v>
      </c>
      <c r="E14" s="11" t="s">
        <v>100</v>
      </c>
      <c r="F14" s="33"/>
      <c r="I14" s="12"/>
    </row>
    <row r="15" spans="1:9" ht="43.5" customHeight="1" x14ac:dyDescent="0.25">
      <c r="A15" s="4">
        <v>44698</v>
      </c>
      <c r="B15" s="16">
        <v>3</v>
      </c>
      <c r="C15" s="9">
        <v>1.5</v>
      </c>
      <c r="D15" s="10" t="s">
        <v>8</v>
      </c>
      <c r="E15" s="11" t="s">
        <v>99</v>
      </c>
      <c r="F15" s="33" t="s">
        <v>104</v>
      </c>
      <c r="I15" s="12"/>
    </row>
    <row r="16" spans="1:9" ht="48.75" customHeight="1" x14ac:dyDescent="0.25">
      <c r="A16" s="4">
        <v>44698</v>
      </c>
      <c r="B16" s="16">
        <v>3</v>
      </c>
      <c r="C16" s="9">
        <v>1</v>
      </c>
      <c r="D16" s="10" t="s">
        <v>10</v>
      </c>
      <c r="E16" s="11" t="s">
        <v>98</v>
      </c>
      <c r="F16" s="32"/>
      <c r="I16" s="12"/>
    </row>
    <row r="17" spans="1:9" ht="63.75" customHeight="1" x14ac:dyDescent="0.25">
      <c r="A17" s="4">
        <v>44698</v>
      </c>
      <c r="B17" s="16">
        <v>3</v>
      </c>
      <c r="C17" s="9">
        <v>1.5</v>
      </c>
      <c r="D17" s="10" t="s">
        <v>8</v>
      </c>
      <c r="E17" s="11" t="s">
        <v>96</v>
      </c>
      <c r="F17" s="31" t="s">
        <v>97</v>
      </c>
      <c r="I17" s="12"/>
    </row>
    <row r="18" spans="1:9" ht="59.25" customHeight="1" x14ac:dyDescent="0.25">
      <c r="A18" s="4">
        <v>44697</v>
      </c>
      <c r="B18" s="16">
        <v>3</v>
      </c>
      <c r="C18" s="9">
        <v>1</v>
      </c>
      <c r="D18" s="10" t="s">
        <v>8</v>
      </c>
      <c r="E18" s="11" t="s">
        <v>94</v>
      </c>
      <c r="F18" s="30"/>
      <c r="I18" s="12"/>
    </row>
    <row r="19" spans="1:9" ht="62.25" customHeight="1" x14ac:dyDescent="0.25">
      <c r="A19" s="4">
        <v>44697</v>
      </c>
      <c r="B19" s="16">
        <v>3</v>
      </c>
      <c r="C19" s="9">
        <v>0.25</v>
      </c>
      <c r="D19" s="10" t="s">
        <v>8</v>
      </c>
      <c r="E19" s="11" t="s">
        <v>92</v>
      </c>
      <c r="F19" s="30" t="s">
        <v>93</v>
      </c>
      <c r="I19" s="12"/>
    </row>
    <row r="20" spans="1:9" ht="71.25" customHeight="1" x14ac:dyDescent="0.25">
      <c r="A20" s="4">
        <v>44697</v>
      </c>
      <c r="B20" s="16">
        <v>3</v>
      </c>
      <c r="C20" s="9">
        <v>0.25</v>
      </c>
      <c r="D20" s="10" t="s">
        <v>10</v>
      </c>
      <c r="E20" s="11" t="s">
        <v>91</v>
      </c>
      <c r="F20" s="30" t="s">
        <v>105</v>
      </c>
      <c r="I20" s="12"/>
    </row>
    <row r="21" spans="1:9" ht="41.25" customHeight="1" x14ac:dyDescent="0.25">
      <c r="A21" s="4">
        <v>44697</v>
      </c>
      <c r="B21" s="16">
        <v>3</v>
      </c>
      <c r="C21" s="9">
        <v>1</v>
      </c>
      <c r="D21" s="10" t="s">
        <v>16</v>
      </c>
      <c r="E21" s="11" t="s">
        <v>35</v>
      </c>
      <c r="F21" s="30"/>
      <c r="I21" s="12"/>
    </row>
    <row r="22" spans="1:9" ht="89.25" customHeight="1" x14ac:dyDescent="0.25">
      <c r="A22" s="4">
        <v>44697</v>
      </c>
      <c r="B22" s="16">
        <v>3</v>
      </c>
      <c r="C22" s="9">
        <v>0.5</v>
      </c>
      <c r="D22" s="10" t="s">
        <v>8</v>
      </c>
      <c r="E22" s="11" t="s">
        <v>89</v>
      </c>
      <c r="F22" s="29" t="s">
        <v>88</v>
      </c>
      <c r="I22" s="12"/>
    </row>
    <row r="23" spans="1:9" ht="89.25" customHeight="1" x14ac:dyDescent="0.25">
      <c r="A23" s="4">
        <v>44697</v>
      </c>
      <c r="B23" s="16">
        <v>3</v>
      </c>
      <c r="C23" s="9">
        <v>0.5</v>
      </c>
      <c r="D23" s="10" t="s">
        <v>16</v>
      </c>
      <c r="E23" s="11" t="s">
        <v>85</v>
      </c>
      <c r="F23" s="29" t="s">
        <v>87</v>
      </c>
      <c r="I23" s="12"/>
    </row>
    <row r="24" spans="1:9" ht="105" customHeight="1" x14ac:dyDescent="0.25">
      <c r="A24" s="4">
        <v>44697</v>
      </c>
      <c r="B24" s="16">
        <v>3</v>
      </c>
      <c r="C24" s="9">
        <v>2</v>
      </c>
      <c r="D24" s="10" t="s">
        <v>8</v>
      </c>
      <c r="E24" s="11" t="s">
        <v>90</v>
      </c>
      <c r="F24" s="29" t="s">
        <v>86</v>
      </c>
      <c r="I24" s="12"/>
    </row>
    <row r="25" spans="1:9" ht="105" customHeight="1" x14ac:dyDescent="0.25">
      <c r="A25" s="4">
        <v>44697</v>
      </c>
      <c r="B25" s="16">
        <v>3</v>
      </c>
      <c r="C25" s="9">
        <v>1</v>
      </c>
      <c r="D25" s="10" t="s">
        <v>8</v>
      </c>
      <c r="E25" s="11" t="s">
        <v>95</v>
      </c>
      <c r="F25" s="29"/>
      <c r="I25" s="12"/>
    </row>
    <row r="26" spans="1:9" ht="105" customHeight="1" x14ac:dyDescent="0.25">
      <c r="A26" s="4">
        <v>44694</v>
      </c>
      <c r="B26" s="16">
        <v>2</v>
      </c>
      <c r="C26" s="9">
        <v>0.25</v>
      </c>
      <c r="D26" s="10" t="s">
        <v>10</v>
      </c>
      <c r="E26" s="11" t="s">
        <v>80</v>
      </c>
      <c r="F26" s="28" t="s">
        <v>81</v>
      </c>
      <c r="I26" s="12"/>
    </row>
    <row r="27" spans="1:9" ht="60" customHeight="1" x14ac:dyDescent="0.25">
      <c r="A27" s="4">
        <v>44694</v>
      </c>
      <c r="B27" s="16">
        <v>2</v>
      </c>
      <c r="C27" s="9">
        <v>2.75</v>
      </c>
      <c r="D27" s="10" t="s">
        <v>8</v>
      </c>
      <c r="E27" s="11" t="s">
        <v>83</v>
      </c>
      <c r="F27" s="27"/>
      <c r="I27" s="12"/>
    </row>
    <row r="28" spans="1:9" ht="60" customHeight="1" x14ac:dyDescent="0.25">
      <c r="A28" s="4">
        <v>44694</v>
      </c>
      <c r="B28" s="16">
        <v>2</v>
      </c>
      <c r="C28" s="9">
        <v>1</v>
      </c>
      <c r="D28" s="10" t="s">
        <v>15</v>
      </c>
      <c r="E28" s="11" t="s">
        <v>78</v>
      </c>
      <c r="F28" s="26" t="s">
        <v>84</v>
      </c>
      <c r="I28" s="12"/>
    </row>
    <row r="29" spans="1:9" ht="60" customHeight="1" x14ac:dyDescent="0.25">
      <c r="A29" s="4">
        <v>44694</v>
      </c>
      <c r="B29" s="16">
        <v>2</v>
      </c>
      <c r="C29" s="9">
        <v>1.5</v>
      </c>
      <c r="D29" s="10" t="s">
        <v>15</v>
      </c>
      <c r="E29" s="11" t="s">
        <v>79</v>
      </c>
      <c r="F29" s="26"/>
      <c r="I29" s="12"/>
    </row>
    <row r="30" spans="1:9" ht="60" customHeight="1" x14ac:dyDescent="0.25">
      <c r="A30" s="4">
        <v>44693</v>
      </c>
      <c r="B30" s="16">
        <v>2</v>
      </c>
      <c r="C30" s="9">
        <v>2</v>
      </c>
      <c r="D30" s="10" t="s">
        <v>15</v>
      </c>
      <c r="E30" s="11" t="s">
        <v>77</v>
      </c>
      <c r="F30" s="25" t="s">
        <v>82</v>
      </c>
      <c r="I30" s="12"/>
    </row>
    <row r="31" spans="1:9" ht="60" customHeight="1" x14ac:dyDescent="0.25">
      <c r="A31" s="4">
        <v>44693</v>
      </c>
      <c r="B31" s="16">
        <v>2</v>
      </c>
      <c r="C31" s="9">
        <v>0.5</v>
      </c>
      <c r="D31" s="10" t="s">
        <v>15</v>
      </c>
      <c r="E31" s="11" t="s">
        <v>75</v>
      </c>
      <c r="F31" s="24" t="s">
        <v>76</v>
      </c>
      <c r="I31" s="12"/>
    </row>
    <row r="32" spans="1:9" ht="60" customHeight="1" x14ac:dyDescent="0.25">
      <c r="A32" s="4">
        <v>44693</v>
      </c>
      <c r="B32" s="16">
        <v>2</v>
      </c>
      <c r="C32" s="9">
        <v>0.5</v>
      </c>
      <c r="D32" s="10" t="s">
        <v>15</v>
      </c>
      <c r="E32" s="11" t="s">
        <v>73</v>
      </c>
      <c r="F32" s="24" t="s">
        <v>74</v>
      </c>
      <c r="I32" s="12"/>
    </row>
    <row r="33" spans="1:9" ht="60" customHeight="1" x14ac:dyDescent="0.25">
      <c r="A33" s="4">
        <v>44693</v>
      </c>
      <c r="B33" s="16">
        <v>2</v>
      </c>
      <c r="C33" s="9">
        <v>1</v>
      </c>
      <c r="D33" s="10" t="s">
        <v>15</v>
      </c>
      <c r="E33" s="11" t="s">
        <v>71</v>
      </c>
      <c r="F33" s="24"/>
      <c r="I33" s="12"/>
    </row>
    <row r="34" spans="1:9" ht="76.5" customHeight="1" x14ac:dyDescent="0.25">
      <c r="A34" s="4">
        <v>44693</v>
      </c>
      <c r="B34" s="16">
        <v>2</v>
      </c>
      <c r="C34" s="9">
        <v>0.5</v>
      </c>
      <c r="D34" s="10" t="s">
        <v>15</v>
      </c>
      <c r="E34" s="11" t="s">
        <v>70</v>
      </c>
      <c r="F34" s="24" t="s">
        <v>72</v>
      </c>
      <c r="I34" s="12"/>
    </row>
    <row r="35" spans="1:9" ht="60" customHeight="1" x14ac:dyDescent="0.25">
      <c r="A35" s="4">
        <v>44691</v>
      </c>
      <c r="B35" s="16">
        <v>2</v>
      </c>
      <c r="C35" s="9">
        <v>0.25</v>
      </c>
      <c r="D35" s="10" t="s">
        <v>10</v>
      </c>
      <c r="E35" s="11" t="s">
        <v>67</v>
      </c>
      <c r="F35" s="23"/>
      <c r="I35" s="12"/>
    </row>
    <row r="36" spans="1:9" ht="60" customHeight="1" x14ac:dyDescent="0.25">
      <c r="A36" s="4">
        <v>44691</v>
      </c>
      <c r="B36" s="16">
        <v>2</v>
      </c>
      <c r="C36" s="9">
        <v>1.25</v>
      </c>
      <c r="D36" s="10" t="s">
        <v>10</v>
      </c>
      <c r="E36" s="11" t="s">
        <v>68</v>
      </c>
      <c r="F36" s="23"/>
      <c r="I36" s="12"/>
    </row>
    <row r="37" spans="1:9" ht="60" customHeight="1" x14ac:dyDescent="0.25">
      <c r="A37" s="4">
        <v>44691</v>
      </c>
      <c r="B37" s="16">
        <v>2</v>
      </c>
      <c r="C37" s="9">
        <v>1.5</v>
      </c>
      <c r="D37" s="10" t="s">
        <v>46</v>
      </c>
      <c r="E37" s="11" t="s">
        <v>63</v>
      </c>
      <c r="F37" s="23" t="s">
        <v>69</v>
      </c>
      <c r="I37" s="12"/>
    </row>
    <row r="38" spans="1:9" ht="60" customHeight="1" x14ac:dyDescent="0.25">
      <c r="A38" s="4">
        <v>44691</v>
      </c>
      <c r="B38" s="16">
        <v>2</v>
      </c>
      <c r="C38" s="9">
        <v>0.25</v>
      </c>
      <c r="D38" s="10" t="s">
        <v>10</v>
      </c>
      <c r="E38" s="11" t="s">
        <v>64</v>
      </c>
      <c r="F38" s="22"/>
      <c r="I38" s="12"/>
    </row>
    <row r="39" spans="1:9" ht="60" customHeight="1" x14ac:dyDescent="0.25">
      <c r="A39" s="4">
        <v>44691</v>
      </c>
      <c r="B39" s="16">
        <v>2</v>
      </c>
      <c r="C39" s="9">
        <v>0.25</v>
      </c>
      <c r="D39" s="10" t="s">
        <v>10</v>
      </c>
      <c r="E39" s="11" t="s">
        <v>60</v>
      </c>
      <c r="F39" s="22"/>
      <c r="I39" s="12"/>
    </row>
    <row r="40" spans="1:9" ht="60" customHeight="1" x14ac:dyDescent="0.25">
      <c r="A40" s="4">
        <v>44691</v>
      </c>
      <c r="B40" s="16">
        <v>2</v>
      </c>
      <c r="C40" s="9">
        <v>1</v>
      </c>
      <c r="D40" s="10" t="s">
        <v>6</v>
      </c>
      <c r="E40" s="11" t="s">
        <v>59</v>
      </c>
      <c r="F40" s="21" t="s">
        <v>62</v>
      </c>
      <c r="I40" s="12"/>
    </row>
    <row r="41" spans="1:9" ht="39" customHeight="1" x14ac:dyDescent="0.25">
      <c r="A41" s="4">
        <v>44691</v>
      </c>
      <c r="B41" s="16">
        <v>2</v>
      </c>
      <c r="C41" s="9">
        <v>0.5</v>
      </c>
      <c r="D41" s="10" t="s">
        <v>6</v>
      </c>
      <c r="E41" s="11" t="s">
        <v>56</v>
      </c>
      <c r="F41" s="37" t="s">
        <v>61</v>
      </c>
      <c r="I41" s="12"/>
    </row>
    <row r="42" spans="1:9" ht="40.5" customHeight="1" x14ac:dyDescent="0.25">
      <c r="A42" s="4">
        <v>44691</v>
      </c>
      <c r="B42" s="16">
        <v>2</v>
      </c>
      <c r="C42" s="9">
        <v>0.5</v>
      </c>
      <c r="D42" s="10" t="s">
        <v>6</v>
      </c>
      <c r="E42" s="11" t="s">
        <v>55</v>
      </c>
      <c r="F42" s="38"/>
      <c r="I42" s="12"/>
    </row>
    <row r="43" spans="1:9" ht="66.75" customHeight="1" x14ac:dyDescent="0.25">
      <c r="A43" s="4">
        <v>44691</v>
      </c>
      <c r="B43" s="16">
        <v>2</v>
      </c>
      <c r="C43" s="9">
        <v>0.5</v>
      </c>
      <c r="D43" s="10" t="s">
        <v>6</v>
      </c>
      <c r="E43" s="11" t="s">
        <v>54</v>
      </c>
      <c r="F43" s="39"/>
      <c r="I43" s="12"/>
    </row>
    <row r="44" spans="1:9" ht="45.75" customHeight="1" x14ac:dyDescent="0.25">
      <c r="A44" s="4">
        <v>44691</v>
      </c>
      <c r="B44" s="16">
        <v>2</v>
      </c>
      <c r="C44" s="9">
        <v>0.5</v>
      </c>
      <c r="D44" s="10" t="s">
        <v>6</v>
      </c>
      <c r="E44" s="11" t="s">
        <v>57</v>
      </c>
      <c r="F44" s="11" t="s">
        <v>58</v>
      </c>
      <c r="I44" s="12"/>
    </row>
    <row r="45" spans="1:9" ht="58.5" customHeight="1" x14ac:dyDescent="0.25">
      <c r="A45" s="4">
        <v>44690</v>
      </c>
      <c r="B45" s="16">
        <v>2</v>
      </c>
      <c r="C45" s="9">
        <v>1.5</v>
      </c>
      <c r="D45" s="10" t="s">
        <v>6</v>
      </c>
      <c r="E45" s="11" t="s">
        <v>52</v>
      </c>
      <c r="F45" s="11" t="s">
        <v>53</v>
      </c>
      <c r="I45" s="12"/>
    </row>
    <row r="46" spans="1:9" ht="71.25" customHeight="1" x14ac:dyDescent="0.25">
      <c r="A46" s="4">
        <v>44690</v>
      </c>
      <c r="B46" s="16">
        <v>2</v>
      </c>
      <c r="C46" s="9">
        <v>1.75</v>
      </c>
      <c r="D46" s="10" t="s">
        <v>10</v>
      </c>
      <c r="E46" s="11" t="s">
        <v>50</v>
      </c>
      <c r="F46" s="11" t="s">
        <v>51</v>
      </c>
      <c r="I46" s="12"/>
    </row>
    <row r="47" spans="1:9" ht="40.5" customHeight="1" x14ac:dyDescent="0.25">
      <c r="A47" s="4">
        <v>44690</v>
      </c>
      <c r="B47" s="16">
        <v>2</v>
      </c>
      <c r="C47" s="9">
        <v>0.25</v>
      </c>
      <c r="D47" s="10" t="s">
        <v>10</v>
      </c>
      <c r="E47" s="11" t="s">
        <v>49</v>
      </c>
      <c r="F47" s="11"/>
      <c r="I47" s="12"/>
    </row>
    <row r="48" spans="1:9" ht="42" customHeight="1" x14ac:dyDescent="0.25">
      <c r="A48" s="4">
        <v>44690</v>
      </c>
      <c r="B48" s="16">
        <v>2</v>
      </c>
      <c r="C48" s="9">
        <v>0.25</v>
      </c>
      <c r="D48" s="10" t="s">
        <v>10</v>
      </c>
      <c r="E48" s="11" t="s">
        <v>48</v>
      </c>
      <c r="F48" s="11"/>
      <c r="I48" s="12"/>
    </row>
    <row r="49" spans="1:9" ht="36.75" customHeight="1" x14ac:dyDescent="0.25">
      <c r="A49" s="4">
        <v>44690</v>
      </c>
      <c r="B49" s="16">
        <v>2</v>
      </c>
      <c r="C49" s="9">
        <v>0.25</v>
      </c>
      <c r="D49" s="10" t="s">
        <v>6</v>
      </c>
      <c r="E49" s="11" t="s">
        <v>44</v>
      </c>
      <c r="F49" s="11"/>
      <c r="I49" s="12"/>
    </row>
    <row r="50" spans="1:9" ht="60" x14ac:dyDescent="0.25">
      <c r="A50" s="4">
        <v>44690</v>
      </c>
      <c r="B50" s="16">
        <v>2</v>
      </c>
      <c r="C50" s="9">
        <v>0.25</v>
      </c>
      <c r="D50" s="10" t="s">
        <v>6</v>
      </c>
      <c r="E50" s="11" t="s">
        <v>43</v>
      </c>
      <c r="F50" s="11" t="s">
        <v>45</v>
      </c>
      <c r="I50" s="12"/>
    </row>
    <row r="51" spans="1:9" ht="30" x14ac:dyDescent="0.25">
      <c r="A51" s="4">
        <v>44690</v>
      </c>
      <c r="B51" s="16">
        <v>2</v>
      </c>
      <c r="C51" s="9">
        <v>0.25</v>
      </c>
      <c r="D51" s="10" t="s">
        <v>6</v>
      </c>
      <c r="E51" s="11" t="s">
        <v>42</v>
      </c>
      <c r="F51" s="11"/>
      <c r="I51" s="12"/>
    </row>
    <row r="52" spans="1:9" ht="38.25" customHeight="1" x14ac:dyDescent="0.25">
      <c r="A52" s="4">
        <v>44690</v>
      </c>
      <c r="B52" s="16">
        <v>2</v>
      </c>
      <c r="C52" s="9">
        <v>1</v>
      </c>
      <c r="D52" s="10" t="s">
        <v>16</v>
      </c>
      <c r="E52" s="11" t="s">
        <v>35</v>
      </c>
      <c r="F52" s="11" t="s">
        <v>36</v>
      </c>
      <c r="I52" s="12"/>
    </row>
    <row r="53" spans="1:9" ht="43.5" customHeight="1" x14ac:dyDescent="0.25">
      <c r="A53" s="4">
        <v>44690</v>
      </c>
      <c r="B53" s="16">
        <v>2</v>
      </c>
      <c r="C53" s="9">
        <v>0.25</v>
      </c>
      <c r="D53" s="10" t="s">
        <v>10</v>
      </c>
      <c r="E53" s="11" t="s">
        <v>37</v>
      </c>
      <c r="F53" s="11"/>
      <c r="I53" s="12"/>
    </row>
    <row r="54" spans="1:9" ht="24.75" customHeight="1" x14ac:dyDescent="0.25">
      <c r="A54" s="4">
        <v>44690</v>
      </c>
      <c r="B54" s="16">
        <v>2</v>
      </c>
      <c r="C54" s="9">
        <v>0.25</v>
      </c>
      <c r="D54" s="10" t="s">
        <v>46</v>
      </c>
      <c r="E54" s="11" t="s">
        <v>40</v>
      </c>
      <c r="F54" s="11" t="s">
        <v>41</v>
      </c>
      <c r="I54" s="12"/>
    </row>
    <row r="55" spans="1:9" ht="24" customHeight="1" x14ac:dyDescent="0.25">
      <c r="A55" s="4">
        <v>44690</v>
      </c>
      <c r="B55" s="16">
        <v>2</v>
      </c>
      <c r="C55" s="9">
        <v>1</v>
      </c>
      <c r="D55" s="10" t="s">
        <v>46</v>
      </c>
      <c r="E55" s="11" t="s">
        <v>39</v>
      </c>
      <c r="F55" s="11"/>
      <c r="I55" s="12"/>
    </row>
    <row r="56" spans="1:9" ht="41.25" customHeight="1" x14ac:dyDescent="0.25">
      <c r="A56" s="4">
        <v>44687</v>
      </c>
      <c r="B56" s="16">
        <v>1</v>
      </c>
      <c r="C56" s="9">
        <v>1.5</v>
      </c>
      <c r="D56" s="10" t="s">
        <v>46</v>
      </c>
      <c r="E56" s="11" t="s">
        <v>38</v>
      </c>
      <c r="F56" s="11" t="s">
        <v>32</v>
      </c>
      <c r="I56" s="12"/>
    </row>
    <row r="57" spans="1:9" ht="56.25" customHeight="1" x14ac:dyDescent="0.25">
      <c r="A57" s="4">
        <v>44687</v>
      </c>
      <c r="B57" s="16">
        <v>1</v>
      </c>
      <c r="C57" s="9">
        <v>1.5</v>
      </c>
      <c r="D57" s="10" t="s">
        <v>46</v>
      </c>
      <c r="E57" s="11" t="s">
        <v>31</v>
      </c>
      <c r="F57" s="11" t="s">
        <v>34</v>
      </c>
      <c r="I57" s="12"/>
    </row>
    <row r="58" spans="1:9" ht="38.25" customHeight="1" x14ac:dyDescent="0.25">
      <c r="A58" s="4">
        <v>44686</v>
      </c>
      <c r="B58" s="16">
        <v>1</v>
      </c>
      <c r="C58" s="9">
        <v>0.75</v>
      </c>
      <c r="D58" s="10" t="s">
        <v>6</v>
      </c>
      <c r="E58" s="11" t="s">
        <v>47</v>
      </c>
      <c r="F58" s="11" t="s">
        <v>30</v>
      </c>
      <c r="I58" s="12"/>
    </row>
    <row r="59" spans="1:9" ht="140.25" customHeight="1" x14ac:dyDescent="0.25">
      <c r="A59" s="4">
        <v>44686</v>
      </c>
      <c r="B59" s="16">
        <v>1</v>
      </c>
      <c r="C59" s="9">
        <v>0.75</v>
      </c>
      <c r="D59" s="10" t="s">
        <v>46</v>
      </c>
      <c r="E59" s="11" t="s">
        <v>29</v>
      </c>
      <c r="F59" s="11" t="s">
        <v>33</v>
      </c>
      <c r="I59" s="12"/>
    </row>
    <row r="60" spans="1:9" ht="39" customHeight="1" x14ac:dyDescent="0.25">
      <c r="A60" s="4">
        <v>44686</v>
      </c>
      <c r="B60" s="16">
        <v>1</v>
      </c>
      <c r="C60" s="9">
        <v>1.25</v>
      </c>
      <c r="D60" s="10" t="s">
        <v>6</v>
      </c>
      <c r="E60" s="11" t="s">
        <v>27</v>
      </c>
      <c r="F60" s="11"/>
      <c r="I60" s="12"/>
    </row>
    <row r="61" spans="1:9" ht="33.75" customHeight="1" x14ac:dyDescent="0.25">
      <c r="A61" s="4">
        <v>44686</v>
      </c>
      <c r="B61" s="16">
        <v>1</v>
      </c>
      <c r="C61" s="9">
        <v>0.5</v>
      </c>
      <c r="D61" s="10" t="s">
        <v>11</v>
      </c>
      <c r="E61" s="11" t="s">
        <v>28</v>
      </c>
      <c r="F61" s="11"/>
      <c r="I61" s="12"/>
    </row>
    <row r="62" spans="1:9" ht="39.75" customHeight="1" x14ac:dyDescent="0.25">
      <c r="A62" s="4">
        <v>44686</v>
      </c>
      <c r="B62" s="16">
        <v>1</v>
      </c>
      <c r="C62" s="9">
        <v>0.5</v>
      </c>
      <c r="D62" s="10" t="s">
        <v>6</v>
      </c>
      <c r="E62" s="11" t="s">
        <v>27</v>
      </c>
      <c r="F62" s="11"/>
      <c r="I62" s="12"/>
    </row>
    <row r="63" spans="1:9" ht="42" customHeight="1" x14ac:dyDescent="0.25">
      <c r="A63" s="4">
        <v>44686</v>
      </c>
      <c r="B63" s="16">
        <v>1</v>
      </c>
      <c r="C63" s="9">
        <v>0.5</v>
      </c>
      <c r="D63" s="10" t="s">
        <v>16</v>
      </c>
      <c r="E63" s="11" t="s">
        <v>35</v>
      </c>
      <c r="F63" s="11" t="s">
        <v>26</v>
      </c>
      <c r="I63" s="12"/>
    </row>
    <row r="64" spans="1:9" ht="44.25" customHeight="1" x14ac:dyDescent="0.25">
      <c r="A64" s="4">
        <v>44684</v>
      </c>
      <c r="B64" s="16">
        <v>1</v>
      </c>
      <c r="C64" s="9">
        <v>2.5</v>
      </c>
      <c r="D64" s="10" t="s">
        <v>6</v>
      </c>
      <c r="E64" s="11" t="s">
        <v>24</v>
      </c>
      <c r="F64" s="11" t="s">
        <v>23</v>
      </c>
      <c r="I64" s="12"/>
    </row>
    <row r="65" spans="1:9" ht="40.5" customHeight="1" x14ac:dyDescent="0.25">
      <c r="A65" s="4">
        <v>44684</v>
      </c>
      <c r="B65" s="16">
        <v>1</v>
      </c>
      <c r="C65" s="9">
        <v>1.5</v>
      </c>
      <c r="D65" s="10" t="s">
        <v>6</v>
      </c>
      <c r="E65" s="11" t="s">
        <v>66</v>
      </c>
      <c r="F65" s="11"/>
      <c r="I65" s="12"/>
    </row>
    <row r="66" spans="1:9" ht="31.5" customHeight="1" x14ac:dyDescent="0.25">
      <c r="A66" s="4">
        <v>44684</v>
      </c>
      <c r="B66" s="16">
        <v>1</v>
      </c>
      <c r="C66" s="9">
        <v>3</v>
      </c>
      <c r="D66" s="10" t="s">
        <v>6</v>
      </c>
      <c r="E66" s="11" t="s">
        <v>21</v>
      </c>
      <c r="F66" s="11"/>
      <c r="I66" s="12"/>
    </row>
    <row r="67" spans="1:9" ht="58.5" customHeight="1" x14ac:dyDescent="0.25">
      <c r="A67" s="4">
        <v>44683</v>
      </c>
      <c r="B67" s="16">
        <v>1</v>
      </c>
      <c r="C67" s="9">
        <v>4</v>
      </c>
      <c r="D67" s="10" t="s">
        <v>6</v>
      </c>
      <c r="E67" s="11" t="s">
        <v>19</v>
      </c>
      <c r="F67" s="11" t="s">
        <v>22</v>
      </c>
      <c r="I67" s="12"/>
    </row>
    <row r="68" spans="1:9" ht="46.5" customHeight="1" x14ac:dyDescent="0.25">
      <c r="A68" s="4">
        <v>44683</v>
      </c>
      <c r="B68" s="16">
        <v>1</v>
      </c>
      <c r="C68" s="9">
        <v>0.5</v>
      </c>
      <c r="D68" s="10" t="s">
        <v>10</v>
      </c>
      <c r="E68" s="11" t="s">
        <v>65</v>
      </c>
      <c r="F68" s="11"/>
      <c r="I68" s="12"/>
    </row>
    <row r="69" spans="1:9" ht="42" customHeight="1" x14ac:dyDescent="0.25">
      <c r="A69" s="4">
        <v>44683</v>
      </c>
      <c r="B69" s="16">
        <v>1</v>
      </c>
      <c r="C69" s="9">
        <v>0.5</v>
      </c>
      <c r="D69" s="10" t="s">
        <v>16</v>
      </c>
      <c r="E69" s="11" t="s">
        <v>25</v>
      </c>
      <c r="F69" s="11"/>
      <c r="I69" s="12"/>
    </row>
    <row r="70" spans="1:9" ht="49.5" customHeight="1" x14ac:dyDescent="0.25">
      <c r="A70" s="4">
        <v>44683</v>
      </c>
      <c r="B70" s="16">
        <v>1</v>
      </c>
      <c r="C70" s="9">
        <v>1.5</v>
      </c>
      <c r="D70" s="10" t="s">
        <v>16</v>
      </c>
      <c r="E70" s="11" t="s">
        <v>17</v>
      </c>
      <c r="F70" s="11" t="s">
        <v>18</v>
      </c>
      <c r="I70" s="12"/>
    </row>
    <row r="72" spans="1:9" x14ac:dyDescent="0.25">
      <c r="D72" s="13"/>
      <c r="E72" s="20"/>
    </row>
    <row r="73" spans="1:9" x14ac:dyDescent="0.25">
      <c r="D73" s="13"/>
      <c r="E73" s="20"/>
    </row>
    <row r="74" spans="1:9" x14ac:dyDescent="0.25">
      <c r="C74" s="13">
        <f>SUM(C7:C70)</f>
        <v>67.25</v>
      </c>
    </row>
    <row r="75" spans="1:9" x14ac:dyDescent="0.25">
      <c r="D75" s="13"/>
    </row>
  </sheetData>
  <sheetProtection selectLockedCells="1"/>
  <mergeCells count="2">
    <mergeCell ref="A1:F2"/>
    <mergeCell ref="F41:F43"/>
  </mergeCells>
  <pageMargins left="0.70866141732283472" right="0.70866141732283472" top="0.74803149606299213" bottom="0.74803149606299213" header="0.31496062992125984" footer="0.31496062992125984"/>
  <pageSetup paperSize="152" scale="70" fitToHeight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Paramètres!$A$2:$A$10</xm:f>
          </x14:formula1>
          <xm:sqref>D7:D70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0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5.425781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t="s">
        <v>46</v>
      </c>
    </row>
    <row r="4" spans="1:1" x14ac:dyDescent="0.25">
      <c r="A4" t="s">
        <v>16</v>
      </c>
    </row>
    <row r="5" spans="1:1" x14ac:dyDescent="0.25">
      <c r="A5" t="s">
        <v>15</v>
      </c>
    </row>
    <row r="6" spans="1:1" x14ac:dyDescent="0.25">
      <c r="A6" t="s">
        <v>14</v>
      </c>
    </row>
    <row r="7" spans="1:1" x14ac:dyDescent="0.25">
      <c r="A7" s="1" t="s">
        <v>8</v>
      </c>
    </row>
    <row r="8" spans="1:1" x14ac:dyDescent="0.25">
      <c r="A8" s="1" t="s">
        <v>9</v>
      </c>
    </row>
    <row r="9" spans="1:1" x14ac:dyDescent="0.25">
      <c r="A9" s="1" t="s">
        <v>10</v>
      </c>
    </row>
    <row r="10" spans="1:1" x14ac:dyDescent="0.25">
      <c r="A10" s="1" t="s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10</xdr:row>
                    <xdr:rowOff>28575</xdr:rowOff>
                  </from>
                  <to>
                    <xdr:col>0</xdr:col>
                    <xdr:colOff>990600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2022-05-20T12:23:53Z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